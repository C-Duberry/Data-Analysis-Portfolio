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rl\Desktop\Data tech\Week 6 - Porfolio\projects to upload\"/>
    </mc:Choice>
  </mc:AlternateContent>
  <bookViews>
    <workbookView xWindow="0" yWindow="0" windowWidth="25600" windowHeight="10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</calcChain>
</file>

<file path=xl/sharedStrings.xml><?xml version="1.0" encoding="utf-8"?>
<sst xmlns="http://schemas.openxmlformats.org/spreadsheetml/2006/main" count="28" uniqueCount="25">
  <si>
    <t>Student name</t>
  </si>
  <si>
    <t>English</t>
  </si>
  <si>
    <t>Mathematics</t>
  </si>
  <si>
    <t>Science</t>
  </si>
  <si>
    <t xml:space="preserve">Average </t>
  </si>
  <si>
    <t>Highest score</t>
  </si>
  <si>
    <t>Strongest Subject</t>
  </si>
  <si>
    <t>Weakest Subject</t>
  </si>
  <si>
    <t>Ted</t>
  </si>
  <si>
    <t>Carol</t>
  </si>
  <si>
    <t>Khan</t>
  </si>
  <si>
    <t>Harry</t>
  </si>
  <si>
    <t>Sarah</t>
  </si>
  <si>
    <t>Linda</t>
  </si>
  <si>
    <t>John</t>
  </si>
  <si>
    <t>Mary</t>
  </si>
  <si>
    <t>Thomas</t>
  </si>
  <si>
    <t>Edward</t>
  </si>
  <si>
    <t>Subject Performance Analysis</t>
  </si>
  <si>
    <t>Average Score Per Subject</t>
  </si>
  <si>
    <t>Median Score Per Subject</t>
  </si>
  <si>
    <t>Most Common Score Per Subject</t>
  </si>
  <si>
    <t>Score Range</t>
  </si>
  <si>
    <t>Pass Rate (&gt;= 50)</t>
  </si>
  <si>
    <t>Fail Rate (&lt;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</si>
</sst>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;;&quot;&quot;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left"/>
    </xf>
    <xf numFmtId="0" fontId="2" fillId="0" borderId="5" xfId="0" applyFont="1" applyBorder="1"/>
    <xf numFmtId="1" fontId="2" fillId="0" borderId="5" xfId="0" applyNumberFormat="1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1" fontId="2" fillId="0" borderId="8" xfId="0" applyNumberFormat="1" applyFont="1" applyBorder="1"/>
    <xf numFmtId="0" fontId="2" fillId="0" borderId="9" xfId="0" applyFont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0" fillId="0" borderId="13" xfId="0" applyFont="1" applyBorder="1"/>
    <xf numFmtId="1" fontId="0" fillId="0" borderId="0" xfId="0" applyNumberFormat="1" applyBorder="1"/>
    <xf numFmtId="0" fontId="5" fillId="0" borderId="0" xfId="0" applyFont="1" applyAlignment="1">
      <alignment vertical="center"/>
    </xf>
    <xf numFmtId="1" fontId="0" fillId="0" borderId="14" xfId="0" applyNumberFormat="1" applyBorder="1"/>
    <xf numFmtId="9" fontId="5" fillId="0" borderId="0" xfId="1" applyFont="1" applyBorder="1" applyAlignment="1">
      <alignment vertical="center"/>
    </xf>
    <xf numFmtId="9" fontId="5" fillId="0" borderId="14" xfId="1" applyFont="1" applyBorder="1" applyAlignment="1">
      <alignment vertical="center"/>
    </xf>
    <xf numFmtId="0" fontId="0" fillId="0" borderId="15" xfId="0" applyFont="1" applyBorder="1"/>
    <xf numFmtId="9" fontId="5" fillId="0" borderId="16" xfId="1" applyFont="1" applyBorder="1" applyAlignment="1">
      <alignment vertical="center"/>
    </xf>
    <xf numFmtId="9" fontId="5" fillId="0" borderId="17" xfId="1" applyFont="1" applyBorder="1" applyAlignment="1">
      <alignment vertical="center"/>
    </xf>
    <xf numFmtId="1" fontId="0" fillId="0" borderId="18" xfId="0" applyNumberFormat="1" applyBorder="1"/>
  </cellXfs>
  <cellStyles count="2">
    <cellStyle name="Normal" xfId="0" builtinId="0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B4:I14" totalsRowShown="0" headerRowDxfId="12" dataDxfId="11" headerRowBorderDxfId="9" tableBorderDxfId="10" totalsRowBorderDxfId="8">
  <autoFilter ref="B4:I14"/>
  <sortState ref="B5:I14">
    <sortCondition descending="1" ref="E1:E11"/>
  </sortState>
  <tableColumns count="8">
    <tableColumn id="1" name="Student name" dataDxfId="7"/>
    <tableColumn id="2" name="English" dataDxfId="6"/>
    <tableColumn id="3" name="Mathematics" dataDxfId="5"/>
    <tableColumn id="4" name="Science" dataDxfId="4"/>
    <tableColumn id="5" name="Average " dataDxfId="3">
      <calculatedColumnFormula>AVERAGE(Table2[[#This Row],[English]:[Science]])</calculatedColumnFormula>
    </tableColumn>
    <tableColumn id="6" name="Highest score" dataDxfId="2">
      <calculatedColumnFormula>MAX(Table2[[#This Row],[English]:[Science]])</calculatedColumnFormula>
    </tableColumn>
    <tableColumn id="9" name="Strongest Subject" dataDxfId="1">
      <calculatedColumnFormula>INDEX({"English","Mathematics","Science"}, MATCH(MAX(C5:E5), C5:E5, 0))</calculatedColumnFormula>
    </tableColumn>
    <tableColumn id="10" name="Weakest Subject" dataDxfId="0">
      <calculatedColumnFormula>INDEX({"English","Mathematics","Science"}, MATCH(MIN(C5:E5), C5:E5,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3"/>
  <sheetViews>
    <sheetView tabSelected="1" workbookViewId="0">
      <selection activeCell="Q24" sqref="Q24"/>
    </sheetView>
  </sheetViews>
  <sheetFormatPr defaultRowHeight="14.5"/>
  <cols>
    <col min="2" max="2" width="28.1796875" bestFit="1" customWidth="1"/>
    <col min="3" max="3" width="11.1796875" bestFit="1" customWidth="1"/>
    <col min="4" max="4" width="16.36328125" bestFit="1" customWidth="1"/>
    <col min="5" max="5" width="11.453125" bestFit="1" customWidth="1"/>
    <col min="6" max="6" width="12.54296875" bestFit="1" customWidth="1"/>
    <col min="7" max="7" width="16.54296875" bestFit="1" customWidth="1"/>
    <col min="8" max="8" width="20.08984375" bestFit="1" customWidth="1"/>
    <col min="9" max="9" width="19.453125" bestFit="1" customWidth="1"/>
  </cols>
  <sheetData>
    <row r="4" spans="2:9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3" t="s">
        <v>5</v>
      </c>
      <c r="H4" s="2" t="s">
        <v>6</v>
      </c>
      <c r="I4" s="2" t="s">
        <v>7</v>
      </c>
    </row>
    <row r="5" spans="2:9">
      <c r="B5" s="4" t="s">
        <v>8</v>
      </c>
      <c r="C5" s="5">
        <v>80</v>
      </c>
      <c r="D5" s="5">
        <v>75</v>
      </c>
      <c r="E5" s="6">
        <v>90</v>
      </c>
      <c r="F5" s="6">
        <f>AVERAGE(Table2[[#This Row],[English]:[Science]])</f>
        <v>81.666666666666671</v>
      </c>
      <c r="G5" s="7">
        <f>MAX(Table2[[#This Row],[English]:[Science]])</f>
        <v>90</v>
      </c>
      <c r="H5" s="8" t="str">
        <f>INDEX({"English","Mathematics","Science"}, MATCH(MAX(C5:E5), C5:E5, 0))</f>
        <v>Science</v>
      </c>
      <c r="I5" s="8" t="str">
        <f>INDEX({"English","Mathematics","Science"}, MATCH(MIN(C5:E5), C5:E5, 0))</f>
        <v>Mathematics</v>
      </c>
    </row>
    <row r="6" spans="2:9">
      <c r="B6" s="9" t="s">
        <v>9</v>
      </c>
      <c r="C6" s="5">
        <v>75</v>
      </c>
      <c r="D6" s="5">
        <v>85</v>
      </c>
      <c r="E6" s="6">
        <v>85</v>
      </c>
      <c r="F6" s="6">
        <f>AVERAGE(Table2[[#This Row],[English]:[Science]])</f>
        <v>81.666666666666671</v>
      </c>
      <c r="G6" s="7">
        <f>MAX(Table2[[#This Row],[English]:[Science]])</f>
        <v>85</v>
      </c>
      <c r="H6" s="8" t="str">
        <f>INDEX({"English","Mathematics","Science"}, MATCH(MAX(C6:E6), C6:E6, 0))</f>
        <v>Mathematics</v>
      </c>
      <c r="I6" s="8" t="str">
        <f>INDEX({"English","Mathematics","Science"}, MATCH(MIN(C6:E6), C6:E6, 0))</f>
        <v>English</v>
      </c>
    </row>
    <row r="7" spans="2:9">
      <c r="B7" s="4" t="s">
        <v>10</v>
      </c>
      <c r="C7" s="5">
        <v>85</v>
      </c>
      <c r="D7" s="5">
        <v>75</v>
      </c>
      <c r="E7" s="6">
        <v>80</v>
      </c>
      <c r="F7" s="6">
        <f>AVERAGE(Table2[[#This Row],[English]:[Science]])</f>
        <v>80</v>
      </c>
      <c r="G7" s="7">
        <f>MAX(Table2[[#This Row],[English]:[Science]])</f>
        <v>85</v>
      </c>
      <c r="H7" s="8" t="str">
        <f>INDEX({"English","Mathematics","Science"}, MATCH(MAX(C7:E7), C7:E7, 0))</f>
        <v>English</v>
      </c>
      <c r="I7" s="8" t="str">
        <f>INDEX({"English","Mathematics","Science"}, MATCH(MIN(C7:E7), C7:E7, 0))</f>
        <v>Mathematics</v>
      </c>
    </row>
    <row r="8" spans="2:9">
      <c r="B8" s="4" t="s">
        <v>11</v>
      </c>
      <c r="C8" s="5">
        <v>80</v>
      </c>
      <c r="D8" s="5">
        <v>70</v>
      </c>
      <c r="E8" s="6">
        <v>80</v>
      </c>
      <c r="F8" s="6">
        <f>AVERAGE(Table2[[#This Row],[English]:[Science]])</f>
        <v>76.666666666666671</v>
      </c>
      <c r="G8" s="7">
        <f>MAX(Table2[[#This Row],[English]:[Science]])</f>
        <v>80</v>
      </c>
      <c r="H8" s="8" t="str">
        <f>INDEX({"English","Mathematics","Science"}, MATCH(MAX(C8:E8), C8:E8, 0))</f>
        <v>English</v>
      </c>
      <c r="I8" s="8" t="str">
        <f>INDEX({"English","Mathematics","Science"}, MATCH(MIN(C8:E8), C8:E8, 0))</f>
        <v>Mathematics</v>
      </c>
    </row>
    <row r="9" spans="2:9">
      <c r="B9" s="9" t="s">
        <v>12</v>
      </c>
      <c r="C9" s="5">
        <v>80</v>
      </c>
      <c r="D9" s="5">
        <v>70</v>
      </c>
      <c r="E9" s="6">
        <v>80</v>
      </c>
      <c r="F9" s="6">
        <f>AVERAGE(Table2[[#This Row],[English]:[Science]])</f>
        <v>76.666666666666671</v>
      </c>
      <c r="G9" s="7">
        <f>MAX(Table2[[#This Row],[English]:[Science]])</f>
        <v>80</v>
      </c>
      <c r="H9" s="8" t="str">
        <f>INDEX({"English","Mathematics","Science"}, MATCH(MAX(C9:E9), C9:E9, 0))</f>
        <v>English</v>
      </c>
      <c r="I9" s="8" t="str">
        <f>INDEX({"English","Mathematics","Science"}, MATCH(MIN(C9:E9), C9:E9, 0))</f>
        <v>Mathematics</v>
      </c>
    </row>
    <row r="10" spans="2:9">
      <c r="B10" s="4" t="s">
        <v>13</v>
      </c>
      <c r="C10" s="5">
        <v>90</v>
      </c>
      <c r="D10" s="5">
        <v>50</v>
      </c>
      <c r="E10" s="6">
        <v>70</v>
      </c>
      <c r="F10" s="6">
        <f>AVERAGE(Table2[[#This Row],[English]:[Science]])</f>
        <v>70</v>
      </c>
      <c r="G10" s="7">
        <f>MAX(Table2[[#This Row],[English]:[Science]])</f>
        <v>90</v>
      </c>
      <c r="H10" s="8" t="str">
        <f>INDEX({"English","Mathematics","Science"}, MATCH(MAX(C10:E10), C10:E10, 0))</f>
        <v>English</v>
      </c>
      <c r="I10" s="8" t="str">
        <f>INDEX({"English","Mathematics","Science"}, MATCH(MIN(C10:E10), C10:E10, 0))</f>
        <v>Mathematics</v>
      </c>
    </row>
    <row r="11" spans="2:9">
      <c r="B11" s="4" t="s">
        <v>14</v>
      </c>
      <c r="C11" s="5">
        <v>65</v>
      </c>
      <c r="D11" s="5">
        <v>80</v>
      </c>
      <c r="E11" s="6">
        <v>70</v>
      </c>
      <c r="F11" s="6">
        <f>AVERAGE(Table2[[#This Row],[English]:[Science]])</f>
        <v>71.666666666666671</v>
      </c>
      <c r="G11" s="7">
        <f>MAX(Table2[[#This Row],[English]:[Science]])</f>
        <v>80</v>
      </c>
      <c r="H11" s="8" t="str">
        <f>INDEX({"English","Mathematics","Science"}, MATCH(MAX(C11:E11), C11:E11, 0))</f>
        <v>Mathematics</v>
      </c>
      <c r="I11" s="8" t="str">
        <f>INDEX({"English","Mathematics","Science"}, MATCH(MIN(C11:E11), C11:E11, 0))</f>
        <v>English</v>
      </c>
    </row>
    <row r="12" spans="2:9">
      <c r="B12" s="4" t="s">
        <v>15</v>
      </c>
      <c r="C12" s="5">
        <v>55</v>
      </c>
      <c r="D12" s="5">
        <v>70</v>
      </c>
      <c r="E12" s="6">
        <v>65</v>
      </c>
      <c r="F12" s="6">
        <f>AVERAGE(Table2[[#This Row],[English]:[Science]])</f>
        <v>63.333333333333336</v>
      </c>
      <c r="G12" s="7">
        <f>MAX(Table2[[#This Row],[English]:[Science]])</f>
        <v>70</v>
      </c>
      <c r="H12" s="8" t="str">
        <f>INDEX({"English","Mathematics","Science"}, MATCH(MAX(C12:E12), C12:E12, 0))</f>
        <v>Mathematics</v>
      </c>
      <c r="I12" s="8" t="str">
        <f>INDEX({"English","Mathematics","Science"}, MATCH(MIN(C12:E12), C12:E12, 0))</f>
        <v>English</v>
      </c>
    </row>
    <row r="13" spans="2:9">
      <c r="B13" s="9" t="s">
        <v>16</v>
      </c>
      <c r="C13" s="5">
        <v>55</v>
      </c>
      <c r="D13" s="5">
        <v>30</v>
      </c>
      <c r="E13" s="6">
        <v>65</v>
      </c>
      <c r="F13" s="6">
        <f>AVERAGE(Table2[[#This Row],[English]:[Science]])</f>
        <v>50</v>
      </c>
      <c r="G13" s="7">
        <f>MAX(Table2[[#This Row],[English]:[Science]])</f>
        <v>65</v>
      </c>
      <c r="H13" s="8" t="str">
        <f>INDEX({"English","Mathematics","Science"}, MATCH(MAX(C13:E13), C13:E13, 0))</f>
        <v>Science</v>
      </c>
      <c r="I13" s="8" t="str">
        <f>INDEX({"English","Mathematics","Science"}, MATCH(MIN(C13:E13), C13:E13, 0))</f>
        <v>Mathematics</v>
      </c>
    </row>
    <row r="14" spans="2:9">
      <c r="B14" s="10" t="s">
        <v>17</v>
      </c>
      <c r="C14" s="11">
        <v>55</v>
      </c>
      <c r="D14" s="11">
        <v>80</v>
      </c>
      <c r="E14" s="12">
        <v>60</v>
      </c>
      <c r="F14" s="12">
        <f>AVERAGE(Table2[[#This Row],[English]:[Science]])</f>
        <v>65</v>
      </c>
      <c r="G14" s="13">
        <f>MAX(Table2[[#This Row],[English]:[Science]])</f>
        <v>80</v>
      </c>
      <c r="H14" s="8" t="str">
        <f>INDEX({"English","Mathematics","Science"}, MATCH(MAX(C14:E14), C14:E14, 0))</f>
        <v>Mathematics</v>
      </c>
      <c r="I14" s="8" t="str">
        <f>INDEX({"English","Mathematics","Science"}, MATCH(MIN(C14:E14), C14:E14, 0))</f>
        <v>English</v>
      </c>
    </row>
    <row r="17" spans="2:7" ht="15.5">
      <c r="B17" s="14" t="s">
        <v>18</v>
      </c>
      <c r="C17" s="15" t="s">
        <v>1</v>
      </c>
      <c r="D17" s="15" t="s">
        <v>2</v>
      </c>
      <c r="E17" s="16" t="s">
        <v>3</v>
      </c>
    </row>
    <row r="18" spans="2:7">
      <c r="B18" s="17" t="s">
        <v>19</v>
      </c>
      <c r="C18" s="18">
        <f>AVERAGE(Table2[English])</f>
        <v>72</v>
      </c>
      <c r="D18" s="18">
        <f>AVERAGE(Table2[Mathematics])</f>
        <v>68.5</v>
      </c>
      <c r="E18" s="26">
        <f>AVERAGE(Table2[Science])</f>
        <v>74.5</v>
      </c>
      <c r="G18" s="19"/>
    </row>
    <row r="19" spans="2:7">
      <c r="B19" s="17" t="s">
        <v>20</v>
      </c>
      <c r="C19" s="18">
        <f>MEDIAN(Table2[[#All],[English]])</f>
        <v>77.5</v>
      </c>
      <c r="D19" s="18">
        <f>MEDIAN(Table2[[#All],[Mathematics]])</f>
        <v>72.5</v>
      </c>
      <c r="E19" s="20">
        <f>MEDIAN(Table2[Science])</f>
        <v>75</v>
      </c>
    </row>
    <row r="20" spans="2:7">
      <c r="B20" s="17" t="s">
        <v>21</v>
      </c>
      <c r="C20" s="18">
        <f>MODE(Table2[English])</f>
        <v>80</v>
      </c>
      <c r="D20" s="18">
        <f>MODE(Table2[Mathematics])</f>
        <v>70</v>
      </c>
      <c r="E20" s="20">
        <f>MODE(Table2[Science])</f>
        <v>80</v>
      </c>
    </row>
    <row r="21" spans="2:7">
      <c r="B21" s="17" t="s">
        <v>22</v>
      </c>
      <c r="C21" s="18">
        <f>MAX(Table2[English]) - MIN(Table2[English])</f>
        <v>35</v>
      </c>
      <c r="D21" s="18">
        <f>MAX(Table2[Mathematics]) - MIN(Table2[Mathematics])</f>
        <v>55</v>
      </c>
      <c r="E21" s="20">
        <f>MAX(Table2[Science]) - MIN(Table2[Science])</f>
        <v>30</v>
      </c>
    </row>
    <row r="22" spans="2:7">
      <c r="B22" s="17" t="s">
        <v>23</v>
      </c>
      <c r="C22" s="21">
        <f>COUNTIF(C5:C14,"&gt;=50")/COUNTA(B5:B14)</f>
        <v>1</v>
      </c>
      <c r="D22" s="21">
        <f t="shared" ref="D22:E22" si="0">COUNTIF(D5:D14,"&gt;=50")/COUNTA(C5:C14)</f>
        <v>0.9</v>
      </c>
      <c r="E22" s="22">
        <f t="shared" si="0"/>
        <v>1</v>
      </c>
    </row>
    <row r="23" spans="2:7">
      <c r="B23" s="23" t="s">
        <v>24</v>
      </c>
      <c r="C23" s="24">
        <f>COUNTIF(C6:C15,"&lt;50")/COUNTA(B6:B15)</f>
        <v>0</v>
      </c>
      <c r="D23" s="24">
        <f>COUNTIF(D6:D15,"&lt;50")/COUNTA(C5:C14)</f>
        <v>0.1</v>
      </c>
      <c r="E23" s="25">
        <f>COUNTIF(E6:E15,"&lt;50")/COUNTA(D6:D15)</f>
        <v>0</v>
      </c>
    </row>
  </sheetData>
  <conditionalFormatting sqref="F4:F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Duberry</dc:creator>
  <cp:lastModifiedBy>Charlotte Duberry</cp:lastModifiedBy>
  <dcterms:created xsi:type="dcterms:W3CDTF">2026-07-06T13:10:48Z</dcterms:created>
  <dcterms:modified xsi:type="dcterms:W3CDTF">2026-07-06T13:15:51Z</dcterms:modified>
</cp:coreProperties>
</file>